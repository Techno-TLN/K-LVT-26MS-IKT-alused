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hend" sheetId="1" state="visible" r:id="rId3"/>
    <sheet name="Positsiooniline süsteem" sheetId="2" state="visible" r:id="rId4"/>
    <sheet name="IP, mask, võrguaadre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<sst xmlns="http://schemas.openxmlformats.org/spreadsheetml/2006/main" count="96" uniqueCount="64">
  <si>
    <t xml:space="preserve">IP-aadressi, võrgumaski ja võrguaadressi kalkulaator</t>
  </si>
  <si>
    <t xml:space="preserve">Abivahend arvusüsteemide (kahend- ja kümnendsüsteem) seose mõistmiseks IP-võrgunduses.</t>
  </si>
  <si>
    <t xml:space="preserve">Kuidas kasutada</t>
  </si>
  <si>
    <t xml:space="preserve">1. Sisesta leht "Positsiooniline süsteem" kollasesse lahtrisse suvaline kümnendarv vahemikus 0–255 (nt IP-aadressi üks oktett) ja jälgi, kuidas arvutustabel selle kaheksaks bitiks lahti harutab.</t>
  </si>
  <si>
    <t xml:space="preserve">2. Sisesta leht "IP, mask, võrguaadress" kollastesse lahtritesse IP-aadress ja võrgumask (kumbki nelja oktendina, nt 192.168.1.10 ja 255.255.255.0). Tabel arvutab automaatselt võrguaadressi, leviaadressi (broadcast), CIDR-tähise ja hostide arvu.</t>
  </si>
  <si>
    <t xml:space="preserve">3. Kõik tulemused arvutatakse valemitega — sisendite muutmisel uuenevad kõik tulemused automaatselt. Kollane taust tähistab alati muudetavat sisendlahtrit.</t>
  </si>
  <si>
    <t xml:space="preserve">Miks kahendsüsteem?</t>
  </si>
  <si>
    <t xml:space="preserve">Arvuti "näeb" iga IP-aadressi ja võrgumaski okteti (0–255) kaheksa bitina (kahendsüsteemis). Inimesele mugav kümnendkuju (nt 192) on vaid lühivorming samast kaheksast bitist (11000000). Võrgumaski ja IP-aadressi vaheline seos — st milline osa aadressist kuulub võrgule ja milline konkreetsele seadmele — toimub täpselt bitthaaval, mistõttu tuleb see seos näha bitikujul, mitte kümnendkujul.</t>
  </si>
  <si>
    <t xml:space="preserve">Põhimõisted</t>
  </si>
  <si>
    <t xml:space="preserve">• Bitt — väikseim infoühik, väärtus 0 või 1.</t>
  </si>
  <si>
    <t xml:space="preserve">• Oktett — 8 biti jada (0–255 kümnendkujul); IPv4-aadress koosneb neljast oktendist.</t>
  </si>
  <si>
    <t xml:space="preserve">• Positsioon (2^n) — iga bitikoht oktendis vastab kahe astmele: 2⁷=128, 2⁶=64, ... 2⁰=1. Kümnendväärtus saadakse nende astmete summana, kus vastav bitt on 1.</t>
  </si>
  <si>
    <t xml:space="preserve">• Võrgumask (subnet mask) — määrab, milline osa 32 bitist kuulub võrguaadressile (bitt=1) ja milline hosti (seadme) aadressile (bitt=0). Nt 255.255.255.0 tähendab 24 üksbitti ja 8 nullbitti.</t>
  </si>
  <si>
    <t xml:space="preserve">• CIDR-tähis (/n) — lühivorming maski jaoks — n näitab, mitu esimest bitti on maskis 1 (nt 255.255.255.0 = /24).</t>
  </si>
  <si>
    <t xml:space="preserve">• Võrguaadress — saadakse IP-aadressi ja maski bitthaaval JA-tehtega (AND): kui maski bitt=1, säilib IP bitt; kui maski bitt=0, tuleb tulemuseks 0.</t>
  </si>
  <si>
    <t xml:space="preserve">• Leviaadress (broadcast) — sarnaselt võrguaadressile, kuid maski nullbittide (hosti-bittide) kohale pannakse 1. See on võrgu "kõigile" suunatud aadress.</t>
  </si>
  <si>
    <t xml:space="preserve">• Hosti-bitid — maski nullbittide arv (32 − CIDR). Määrab, mitu erinevat seadme aadressi võrgus mahub.</t>
  </si>
  <si>
    <t xml:space="preserve">• Kasutatavaid hoste — 2^(hosti-bitid) − 2 (lahutatakse võrguaadress ja leviaadress, mida seadmetele ei jagata).</t>
  </si>
  <si>
    <t xml:space="preserve">Töölehed</t>
  </si>
  <si>
    <t xml:space="preserve">"Positsiooniline süsteem" — üksiku oktendi (0–255) kümnend→kahend lahtiharutus, et harjutada positsioonilise arvusüsteemi põhimõtet enne täislahenduse juurde minekut.</t>
  </si>
  <si>
    <t xml:space="preserve">"IP, mask, võrguaadress" — täislahendus nelja oktendiga: IP-aadress, võrgumask, võrguaadress, leviaadress, CIDR ja hostide arv, kõik bitikujul nähtavana.</t>
  </si>
  <si>
    <t xml:space="preserve">Positsiooniline arvusüsteem (üks oktett)</t>
  </si>
  <si>
    <t xml:space="preserve">Sisesta kollasesse lahtrisse kümnendarv 0–255 — tabel näitab, kuidas see kaheksaks bitiks jaguneb.</t>
  </si>
  <si>
    <t xml:space="preserve">← muudetav sisendlahter</t>
  </si>
  <si>
    <t xml:space="preserve">Kümnendväärtus (0–255):</t>
  </si>
  <si>
    <t xml:space="preserve">Positsioon (n):</t>
  </si>
  <si>
    <t xml:space="preserve">2ⁿ:</t>
  </si>
  <si>
    <t xml:space="preserve">Bitt (0/1):</t>
  </si>
  <si>
    <t xml:space="preserve">Bitt × 2ⁿ:</t>
  </si>
  <si>
    <t xml:space="preserve">Kontroll — summa (peab võrduma sisendiga):</t>
  </si>
  <si>
    <t xml:space="preserve">Kahendkuju (kontroll DEC2BIN-iga):</t>
  </si>
  <si>
    <t xml:space="preserve">Loogika: iga positsioon n vastab kahe astmele 2ⁿ. Bitt on 1, kui see aste "mahub" jäägita väärtusesse (MOD(INT(väärtus/2ⁿ),2)). Väärtus on kõigi 1-bittide 2ⁿ summa.</t>
  </si>
  <si>
    <t xml:space="preserve">IP-aadress, võrgumask ja võrguaadress</t>
  </si>
  <si>
    <t xml:space="preserve">Kollased lahtrid on sisendid — kõik muu arvutatakse valemitega automaatselt.</t>
  </si>
  <si>
    <t xml:space="preserve">Sisendid</t>
  </si>
  <si>
    <t xml:space="preserve">IP-aadress (4 oktetti):</t>
  </si>
  <si>
    <t xml:space="preserve">→</t>
  </si>
  <si>
    <t xml:space="preserve">Võrgumask (4 oktetti):</t>
  </si>
  <si>
    <t xml:space="preserve">1. oktett</t>
  </si>
  <si>
    <t xml:space="preserve">IP bitt:</t>
  </si>
  <si>
    <t xml:space="preserve">← kümnendkuju (kontroll)</t>
  </si>
  <si>
    <t xml:space="preserve">Maski bitt:</t>
  </si>
  <si>
    <t xml:space="preserve">Võrgu bitt (AND):</t>
  </si>
  <si>
    <t xml:space="preserve">← võrguaadressi oktett</t>
  </si>
  <si>
    <t xml:space="preserve">Levi bitt (OR host):</t>
  </si>
  <si>
    <t xml:space="preserve">← leviaadressi oktett</t>
  </si>
  <si>
    <t xml:space="preserve">2. oktett</t>
  </si>
  <si>
    <t xml:space="preserve">3. oktett</t>
  </si>
  <si>
    <t xml:space="preserve">4. oktett</t>
  </si>
  <si>
    <t xml:space="preserve">Kokkuvõte</t>
  </si>
  <si>
    <t xml:space="preserve">IP-aadress:</t>
  </si>
  <si>
    <t xml:space="preserve">peab kattuma sisendiga ülal</t>
  </si>
  <si>
    <t xml:space="preserve">Võrgumask:</t>
  </si>
  <si>
    <t xml:space="preserve">CIDR-tähis:</t>
  </si>
  <si>
    <t xml:space="preserve">1-bittide arv maskis kokku (kõik 4 oktetti)</t>
  </si>
  <si>
    <t xml:space="preserve">Hosti-bitte:</t>
  </si>
  <si>
    <t xml:space="preserve">32 − CIDR</t>
  </si>
  <si>
    <t xml:space="preserve">Kasutatavaid hoste:</t>
  </si>
  <si>
    <t xml:space="preserve">2^(hosti-bitte) − 2 (võrgu- ja leviaadress välja arvatud)</t>
  </si>
  <si>
    <t xml:space="preserve">Võrguaadress:</t>
  </si>
  <si>
    <t xml:space="preserve">IP AND mask, bitthaaval</t>
  </si>
  <si>
    <t xml:space="preserve">Leviaadress (broadcast):</t>
  </si>
  <si>
    <t xml:space="preserve">võrguaadress, hosti-bitid asendatud 1-ga</t>
  </si>
  <si>
    <t xml:space="preserve">Proovi muuta IP-aadressi või võrgumaski kollastes lahtrites ülal — kõik oktendiplokid ja kokkuvõte arvutuvad automaatselt ümber. NB: mõlemad sisendid peavad olema vahemikus 0–255 iga oktendi kohta.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</si>
</sst>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23.85" hidden="false" customHeight="false" outlineLevel="0" collapsed="false">
      <c r="B7" s="4" t="s">
        <v>3</v>
      </c>
    </row>
    <row r="8" customFormat="false" ht="35.05" hidden="false" customHeight="false" outlineLevel="0" collapsed="false">
      <c r="B8" s="4" t="s">
        <v>4</v>
      </c>
    </row>
    <row r="9" customFormat="false" ht="23.85" hidden="false" customHeight="fals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3" customFormat="false" ht="46.25" hidden="false" customHeight="false" outlineLevel="0" collapsed="false">
      <c r="B13" s="4" t="s">
        <v>7</v>
      </c>
    </row>
    <row r="15" customFormat="false" ht="15" hidden="false" customHeight="false" outlineLevel="0" collapsed="false">
      <c r="B15" s="3" t="s">
        <v>8</v>
      </c>
    </row>
    <row r="17" customFormat="false" ht="15" hidden="false" customHeight="false" outlineLevel="0" collapsed="false">
      <c r="B17" s="4" t="s">
        <v>9</v>
      </c>
    </row>
    <row r="18" customFormat="false" ht="15" hidden="false" customHeight="false" outlineLevel="0" collapsed="false">
      <c r="B18" s="4" t="s">
        <v>10</v>
      </c>
    </row>
    <row r="19" customFormat="false" ht="23.85" hidden="false" customHeight="false" outlineLevel="0" collapsed="false">
      <c r="B19" s="4" t="s">
        <v>11</v>
      </c>
    </row>
    <row r="20" customFormat="false" ht="23.85" hidden="false" customHeight="false" outlineLevel="0" collapsed="false">
      <c r="B20" s="4" t="s">
        <v>12</v>
      </c>
    </row>
    <row r="21" customFormat="false" ht="15" hidden="false" customHeight="false" outlineLevel="0" collapsed="false">
      <c r="B21" s="4" t="s">
        <v>13</v>
      </c>
    </row>
    <row r="22" customFormat="false" ht="23.85" hidden="false" customHeight="false" outlineLevel="0" collapsed="false">
      <c r="B22" s="4" t="s">
        <v>14</v>
      </c>
    </row>
    <row r="23" customFormat="false" ht="23.85" hidden="false" customHeight="false" outlineLevel="0" collapsed="false">
      <c r="B23" s="4" t="s">
        <v>15</v>
      </c>
    </row>
    <row r="24" customFormat="false" ht="15" hidden="false" customHeight="false" outlineLevel="0" collapsed="false">
      <c r="B24" s="4" t="s">
        <v>16</v>
      </c>
    </row>
    <row r="25" customFormat="false" ht="15" hidden="false" customHeight="false" outlineLevel="0" collapsed="false">
      <c r="B25" s="4" t="s">
        <v>17</v>
      </c>
    </row>
    <row r="27" customFormat="false" ht="15" hidden="false" customHeight="false" outlineLevel="0" collapsed="false">
      <c r="B27" s="3" t="s">
        <v>18</v>
      </c>
    </row>
    <row r="29" customFormat="false" ht="23.85" hidden="false" customHeight="false" outlineLevel="0" collapsed="false">
      <c r="B29" s="4" t="s">
        <v>19</v>
      </c>
    </row>
    <row r="30" customFormat="false" ht="23.85" hidden="false" customHeight="false" outlineLevel="0" collapsed="false">
      <c r="B30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0" min="3" style="0" width="9"/>
    <col collapsed="false" customWidth="true" hidden="false" outlineLevel="0" max="11" min="11" style="0" width="3"/>
    <col collapsed="false" customWidth="true" hidden="false" outlineLevel="0" max="12" min="12" style="0" width="16"/>
  </cols>
  <sheetData>
    <row r="2" customFormat="false" ht="17.35" hidden="false" customHeight="false" outlineLevel="0" collapsed="false">
      <c r="B2" s="1" t="s">
        <v>21</v>
      </c>
    </row>
    <row r="3" customFormat="false" ht="15" hidden="false" customHeight="false" outlineLevel="0" collapsed="false">
      <c r="B3" s="2" t="s">
        <v>22</v>
      </c>
    </row>
    <row r="4" customFormat="false" ht="15" hidden="false" customHeight="false" outlineLevel="0" collapsed="false">
      <c r="B4" s="5"/>
      <c r="C4" s="6" t="s">
        <v>23</v>
      </c>
    </row>
    <row r="6" customFormat="false" ht="15" hidden="false" customHeight="false" outlineLevel="0" collapsed="false">
      <c r="B6" s="7" t="s">
        <v>24</v>
      </c>
      <c r="C6" s="8" t="n">
        <v>200</v>
      </c>
    </row>
    <row r="8" customFormat="false" ht="15" hidden="false" customHeight="false" outlineLevel="0" collapsed="false">
      <c r="B8" s="7" t="s">
        <v>25</v>
      </c>
      <c r="C8" s="9" t="n">
        <v>7</v>
      </c>
      <c r="D8" s="9" t="n">
        <v>6</v>
      </c>
      <c r="E8" s="9" t="n">
        <v>5</v>
      </c>
      <c r="F8" s="9" t="n">
        <v>4</v>
      </c>
      <c r="G8" s="9" t="n">
        <v>3</v>
      </c>
      <c r="H8" s="9" t="n">
        <v>2</v>
      </c>
      <c r="I8" s="9" t="n">
        <v>1</v>
      </c>
      <c r="J8" s="9" t="n">
        <v>0</v>
      </c>
    </row>
    <row r="9" customFormat="false" ht="15" hidden="false" customHeight="false" outlineLevel="0" collapsed="false">
      <c r="B9" s="7" t="s">
        <v>26</v>
      </c>
      <c r="C9" s="10" t="n">
        <f aca="false">2^C8</f>
        <v>128</v>
      </c>
      <c r="D9" s="10" t="n">
        <f aca="false">2^D8</f>
        <v>64</v>
      </c>
      <c r="E9" s="10" t="n">
        <f aca="false">2^E8</f>
        <v>32</v>
      </c>
      <c r="F9" s="10" t="n">
        <f aca="false">2^F8</f>
        <v>16</v>
      </c>
      <c r="G9" s="10" t="n">
        <f aca="false">2^G8</f>
        <v>8</v>
      </c>
      <c r="H9" s="10" t="n">
        <f aca="false">2^H8</f>
        <v>4</v>
      </c>
      <c r="I9" s="10" t="n">
        <f aca="false">2^I8</f>
        <v>2</v>
      </c>
      <c r="J9" s="10" t="n">
        <f aca="false">2^J8</f>
        <v>1</v>
      </c>
    </row>
    <row r="10" customFormat="false" ht="15" hidden="false" customHeight="false" outlineLevel="0" collapsed="false">
      <c r="B10" s="7" t="s">
        <v>27</v>
      </c>
      <c r="C10" s="11" t="n">
        <f aca="false">MOD(INT($C$6/C9),2)</f>
        <v>1</v>
      </c>
      <c r="D10" s="11" t="n">
        <f aca="false">MOD(INT($C$6/D9),2)</f>
        <v>1</v>
      </c>
      <c r="E10" s="11" t="n">
        <f aca="false">MOD(INT($C$6/E9),2)</f>
        <v>0</v>
      </c>
      <c r="F10" s="11" t="n">
        <f aca="false">MOD(INT($C$6/F9),2)</f>
        <v>0</v>
      </c>
      <c r="G10" s="11" t="n">
        <f aca="false">MOD(INT($C$6/G9),2)</f>
        <v>1</v>
      </c>
      <c r="H10" s="11" t="n">
        <f aca="false">MOD(INT($C$6/H9),2)</f>
        <v>0</v>
      </c>
      <c r="I10" s="11" t="n">
        <f aca="false">MOD(INT($C$6/I9),2)</f>
        <v>0</v>
      </c>
      <c r="J10" s="11" t="n">
        <f aca="false">MOD(INT($C$6/J9),2)</f>
        <v>0</v>
      </c>
    </row>
    <row r="11" customFormat="false" ht="15" hidden="false" customHeight="false" outlineLevel="0" collapsed="false">
      <c r="B11" s="7" t="s">
        <v>28</v>
      </c>
      <c r="C11" s="10" t="n">
        <f aca="false">C10*C9</f>
        <v>128</v>
      </c>
      <c r="D11" s="10" t="n">
        <f aca="false">D10*D9</f>
        <v>64</v>
      </c>
      <c r="E11" s="10" t="n">
        <f aca="false">E10*E9</f>
        <v>0</v>
      </c>
      <c r="F11" s="10" t="n">
        <f aca="false">F10*F9</f>
        <v>0</v>
      </c>
      <c r="G11" s="10" t="n">
        <f aca="false">G10*G9</f>
        <v>8</v>
      </c>
      <c r="H11" s="10" t="n">
        <f aca="false">H10*H9</f>
        <v>0</v>
      </c>
      <c r="I11" s="10" t="n">
        <f aca="false">I10*I9</f>
        <v>0</v>
      </c>
      <c r="J11" s="10" t="n">
        <f aca="false">J10*J9</f>
        <v>0</v>
      </c>
    </row>
    <row r="13" customFormat="false" ht="15" hidden="false" customHeight="false" outlineLevel="0" collapsed="false">
      <c r="B13" s="7" t="s">
        <v>29</v>
      </c>
      <c r="C13" s="12" t="n">
        <f aca="false">SUM(C11:J11)</f>
        <v>200</v>
      </c>
      <c r="D13" s="12"/>
    </row>
    <row r="14" customFormat="false" ht="15" hidden="false" customHeight="false" outlineLevel="0" collapsed="false">
      <c r="B14" s="7" t="s">
        <v>30</v>
      </c>
      <c r="C14" s="12" t="str">
        <f aca="false">DEC2BIN(C6,8)</f>
        <v>11001000</v>
      </c>
      <c r="D14" s="12"/>
    </row>
    <row r="16" customFormat="false" ht="30" hidden="false" customHeight="true" outlineLevel="0" collapsed="false">
      <c r="B16" s="13" t="s">
        <v>31</v>
      </c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B17" s="13"/>
      <c r="C17" s="13"/>
      <c r="D17" s="13"/>
      <c r="E17" s="13"/>
      <c r="F17" s="13"/>
      <c r="G17" s="13"/>
      <c r="H17" s="13"/>
      <c r="I17" s="13"/>
      <c r="J17" s="13"/>
    </row>
  </sheetData>
  <mergeCells count="3">
    <mergeCell ref="C13:D13"/>
    <mergeCell ref="C14:D14"/>
    <mergeCell ref="B16:J17"/>
  </mergeCells>
  <dataValidations count="1">
    <dataValidation allowBlank="false" error="Sisesta täisarv vahemikus 0–255." errorStyle="stop" errorTitle="Vale väärtus" operator="between" showDropDown="false" showErrorMessage="true" showInputMessage="false" sqref="C6" type="whole">
      <formula1>0</formula1>
      <formula2>255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0" min="3" style="0" width="8"/>
    <col collapsed="false" customWidth="true" hidden="false" outlineLevel="0" max="11" min="11" style="0" width="3"/>
    <col collapsed="false" customWidth="true" hidden="false" outlineLevel="0" max="12" min="12" style="0" width="16"/>
  </cols>
  <sheetData>
    <row r="2" customFormat="false" ht="17.35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4" customFormat="false" ht="15" hidden="false" customHeight="false" outlineLevel="0" collapsed="false">
      <c r="B4" s="5"/>
      <c r="C4" s="6" t="s">
        <v>23</v>
      </c>
    </row>
    <row r="6" customFormat="false" ht="19.5" hidden="false" customHeight="true" outlineLevel="0" collapsed="false">
      <c r="B6" s="14" t="s">
        <v>34</v>
      </c>
      <c r="C6" s="14"/>
      <c r="D6" s="14"/>
      <c r="E6" s="14"/>
      <c r="F6" s="14"/>
      <c r="G6" s="14"/>
      <c r="H6" s="14"/>
      <c r="I6" s="14"/>
      <c r="J6" s="14"/>
    </row>
    <row r="7" customFormat="false" ht="15" hidden="false" customHeight="false" outlineLevel="0" collapsed="false">
      <c r="B7" s="7" t="s">
        <v>35</v>
      </c>
      <c r="C7" s="8" t="n">
        <v>192</v>
      </c>
      <c r="D7" s="8" t="n">
        <v>168</v>
      </c>
      <c r="E7" s="8" t="n">
        <v>1</v>
      </c>
      <c r="F7" s="8" t="n">
        <v>10</v>
      </c>
      <c r="G7" s="15" t="s">
        <v>36</v>
      </c>
      <c r="H7" s="16" t="str">
        <f aca="false">C7&amp;"."&amp;D7&amp;"."&amp;E7&amp;"."&amp;F7</f>
        <v>192.168.1.10</v>
      </c>
      <c r="I7" s="16"/>
      <c r="J7" s="16"/>
    </row>
    <row r="8" customFormat="false" ht="15" hidden="false" customHeight="false" outlineLevel="0" collapsed="false">
      <c r="B8" s="7" t="s">
        <v>37</v>
      </c>
      <c r="C8" s="8" t="n">
        <v>255</v>
      </c>
      <c r="D8" s="8" t="n">
        <v>255</v>
      </c>
      <c r="E8" s="8" t="n">
        <v>255</v>
      </c>
      <c r="F8" s="8" t="n">
        <v>0</v>
      </c>
      <c r="G8" s="15" t="s">
        <v>36</v>
      </c>
      <c r="H8" s="16" t="str">
        <f aca="false">C8&amp;"."&amp;D8&amp;"."&amp;E8&amp;"."&amp;F8</f>
        <v>255.255.255.0</v>
      </c>
      <c r="I8" s="16"/>
      <c r="J8" s="16"/>
    </row>
    <row r="10" customFormat="false" ht="19.5" hidden="false" customHeight="true" outlineLevel="0" collapsed="false">
      <c r="B10" s="14" t="s">
        <v>38</v>
      </c>
      <c r="C10" s="14"/>
      <c r="D10" s="14"/>
      <c r="E10" s="14"/>
      <c r="F10" s="14"/>
      <c r="G10" s="14"/>
      <c r="H10" s="14"/>
      <c r="I10" s="14"/>
      <c r="J10" s="14"/>
    </row>
    <row r="11" customFormat="false" ht="15.75" hidden="false" customHeight="true" outlineLevel="0" collapsed="false">
      <c r="B11" s="7" t="s">
        <v>25</v>
      </c>
      <c r="C11" s="9" t="n">
        <v>7</v>
      </c>
      <c r="D11" s="9" t="n">
        <v>6</v>
      </c>
      <c r="E11" s="9" t="n">
        <v>5</v>
      </c>
      <c r="F11" s="9" t="n">
        <v>4</v>
      </c>
      <c r="G11" s="9" t="n">
        <v>3</v>
      </c>
      <c r="H11" s="9" t="n">
        <v>2</v>
      </c>
      <c r="I11" s="9" t="n">
        <v>1</v>
      </c>
      <c r="J11" s="9" t="n">
        <v>0</v>
      </c>
    </row>
    <row r="12" customFormat="false" ht="15.75" hidden="false" customHeight="true" outlineLevel="0" collapsed="false">
      <c r="B12" s="7" t="s">
        <v>26</v>
      </c>
      <c r="C12" s="10" t="n">
        <f aca="false">2^C11</f>
        <v>128</v>
      </c>
      <c r="D12" s="10" t="n">
        <f aca="false">2^D11</f>
        <v>64</v>
      </c>
      <c r="E12" s="10" t="n">
        <f aca="false">2^E11</f>
        <v>32</v>
      </c>
      <c r="F12" s="10" t="n">
        <f aca="false">2^F11</f>
        <v>16</v>
      </c>
      <c r="G12" s="10" t="n">
        <f aca="false">2^G11</f>
        <v>8</v>
      </c>
      <c r="H12" s="10" t="n">
        <f aca="false">2^H11</f>
        <v>4</v>
      </c>
      <c r="I12" s="10" t="n">
        <f aca="false">2^I11</f>
        <v>2</v>
      </c>
      <c r="J12" s="10" t="n">
        <f aca="false">2^J11</f>
        <v>1</v>
      </c>
    </row>
    <row r="13" customFormat="false" ht="15.75" hidden="false" customHeight="true" outlineLevel="0" collapsed="false">
      <c r="B13" s="7" t="s">
        <v>39</v>
      </c>
      <c r="C13" s="11" t="n">
        <f aca="false">MOD(INT(C7/C12),2)</f>
        <v>1</v>
      </c>
      <c r="D13" s="11" t="n">
        <f aca="false">MOD(INT(C7/D12),2)</f>
        <v>1</v>
      </c>
      <c r="E13" s="11" t="n">
        <f aca="false">MOD(INT(C7/E12),2)</f>
        <v>0</v>
      </c>
      <c r="F13" s="11" t="n">
        <f aca="false">MOD(INT(C7/F12),2)</f>
        <v>0</v>
      </c>
      <c r="G13" s="11" t="n">
        <f aca="false">MOD(INT(C7/G12),2)</f>
        <v>0</v>
      </c>
      <c r="H13" s="11" t="n">
        <f aca="false">MOD(INT(C7/H12),2)</f>
        <v>0</v>
      </c>
      <c r="I13" s="11" t="n">
        <f aca="false">MOD(INT(C7/I12),2)</f>
        <v>0</v>
      </c>
      <c r="J13" s="11" t="n">
        <f aca="false">MOD(INT(C7/J12),2)</f>
        <v>0</v>
      </c>
      <c r="K13" s="15" t="n">
        <f aca="false">SUMPRODUCT(C13:J13,C12:J12)</f>
        <v>192</v>
      </c>
      <c r="L13" s="6" t="s">
        <v>40</v>
      </c>
    </row>
    <row r="14" customFormat="false" ht="15.75" hidden="false" customHeight="true" outlineLevel="0" collapsed="false">
      <c r="B14" s="7" t="s">
        <v>41</v>
      </c>
      <c r="C14" s="11" t="n">
        <f aca="false">MOD(INT(C8/C12),2)</f>
        <v>1</v>
      </c>
      <c r="D14" s="11" t="n">
        <f aca="false">MOD(INT(C8/D12),2)</f>
        <v>1</v>
      </c>
      <c r="E14" s="11" t="n">
        <f aca="false">MOD(INT(C8/E12),2)</f>
        <v>1</v>
      </c>
      <c r="F14" s="11" t="n">
        <f aca="false">MOD(INT(C8/F12),2)</f>
        <v>1</v>
      </c>
      <c r="G14" s="11" t="n">
        <f aca="false">MOD(INT(C8/G12),2)</f>
        <v>1</v>
      </c>
      <c r="H14" s="11" t="n">
        <f aca="false">MOD(INT(C8/H12),2)</f>
        <v>1</v>
      </c>
      <c r="I14" s="11" t="n">
        <f aca="false">MOD(INT(C8/I12),2)</f>
        <v>1</v>
      </c>
      <c r="J14" s="11" t="n">
        <f aca="false">MOD(INT(C8/J12),2)</f>
        <v>1</v>
      </c>
      <c r="K14" s="15" t="n">
        <f aca="false">SUMPRODUCT(C14:J14,C12:J12)</f>
        <v>255</v>
      </c>
    </row>
    <row r="15" customFormat="false" ht="15.75" hidden="false" customHeight="true" outlineLevel="0" collapsed="false">
      <c r="B15" s="7" t="s">
        <v>42</v>
      </c>
      <c r="C15" s="17" t="n">
        <f aca="false">C13*C14</f>
        <v>1</v>
      </c>
      <c r="D15" s="17" t="n">
        <f aca="false">D13*D14</f>
        <v>1</v>
      </c>
      <c r="E15" s="17" t="n">
        <f aca="false">E13*E14</f>
        <v>0</v>
      </c>
      <c r="F15" s="17" t="n">
        <f aca="false">F13*F14</f>
        <v>0</v>
      </c>
      <c r="G15" s="17" t="n">
        <f aca="false">G13*G14</f>
        <v>0</v>
      </c>
      <c r="H15" s="17" t="n">
        <f aca="false">H13*H14</f>
        <v>0</v>
      </c>
      <c r="I15" s="17" t="n">
        <f aca="false">I13*I14</f>
        <v>0</v>
      </c>
      <c r="J15" s="17" t="n">
        <f aca="false">J13*J14</f>
        <v>0</v>
      </c>
      <c r="K15" s="18" t="n">
        <f aca="false">SUMPRODUCT(C15:J15,C12:J12)</f>
        <v>192</v>
      </c>
      <c r="L15" s="6" t="s">
        <v>43</v>
      </c>
    </row>
    <row r="16" customFormat="false" ht="15.75" hidden="false" customHeight="true" outlineLevel="0" collapsed="false">
      <c r="B16" s="7" t="s">
        <v>44</v>
      </c>
      <c r="C16" s="17" t="n">
        <f aca="false">IF(C14=1,C13,1)</f>
        <v>1</v>
      </c>
      <c r="D16" s="17" t="n">
        <f aca="false">IF(D14=1,D13,1)</f>
        <v>1</v>
      </c>
      <c r="E16" s="17" t="n">
        <f aca="false">IF(E14=1,E13,1)</f>
        <v>0</v>
      </c>
      <c r="F16" s="17" t="n">
        <f aca="false">IF(F14=1,F13,1)</f>
        <v>0</v>
      </c>
      <c r="G16" s="17" t="n">
        <f aca="false">IF(G14=1,G13,1)</f>
        <v>0</v>
      </c>
      <c r="H16" s="17" t="n">
        <f aca="false">IF(H14=1,H13,1)</f>
        <v>0</v>
      </c>
      <c r="I16" s="17" t="n">
        <f aca="false">IF(I14=1,I13,1)</f>
        <v>0</v>
      </c>
      <c r="J16" s="17" t="n">
        <f aca="false">IF(J14=1,J13,1)</f>
        <v>0</v>
      </c>
      <c r="K16" s="18" t="n">
        <f aca="false">SUMPRODUCT(C16:J16,C12:J12)</f>
        <v>192</v>
      </c>
      <c r="L16" s="6" t="s">
        <v>45</v>
      </c>
    </row>
    <row r="18" customFormat="false" ht="19.5" hidden="false" customHeight="true" outlineLevel="0" collapsed="false">
      <c r="B18" s="14" t="s">
        <v>46</v>
      </c>
      <c r="C18" s="14"/>
      <c r="D18" s="14"/>
      <c r="E18" s="14"/>
      <c r="F18" s="14"/>
      <c r="G18" s="14"/>
      <c r="H18" s="14"/>
      <c r="I18" s="14"/>
      <c r="J18" s="14"/>
    </row>
    <row r="19" customFormat="false" ht="15.75" hidden="false" customHeight="true" outlineLevel="0" collapsed="false">
      <c r="B19" s="7" t="s">
        <v>25</v>
      </c>
      <c r="C19" s="9" t="n">
        <v>7</v>
      </c>
      <c r="D19" s="9" t="n">
        <v>6</v>
      </c>
      <c r="E19" s="9" t="n">
        <v>5</v>
      </c>
      <c r="F19" s="9" t="n">
        <v>4</v>
      </c>
      <c r="G19" s="9" t="n">
        <v>3</v>
      </c>
      <c r="H19" s="9" t="n">
        <v>2</v>
      </c>
      <c r="I19" s="9" t="n">
        <v>1</v>
      </c>
      <c r="J19" s="9" t="n">
        <v>0</v>
      </c>
    </row>
    <row r="20" customFormat="false" ht="15.75" hidden="false" customHeight="true" outlineLevel="0" collapsed="false">
      <c r="B20" s="7" t="s">
        <v>26</v>
      </c>
      <c r="C20" s="10" t="n">
        <f aca="false">2^C19</f>
        <v>128</v>
      </c>
      <c r="D20" s="10" t="n">
        <f aca="false">2^D19</f>
        <v>64</v>
      </c>
      <c r="E20" s="10" t="n">
        <f aca="false">2^E19</f>
        <v>32</v>
      </c>
      <c r="F20" s="10" t="n">
        <f aca="false">2^F19</f>
        <v>16</v>
      </c>
      <c r="G20" s="10" t="n">
        <f aca="false">2^G19</f>
        <v>8</v>
      </c>
      <c r="H20" s="10" t="n">
        <f aca="false">2^H19</f>
        <v>4</v>
      </c>
      <c r="I20" s="10" t="n">
        <f aca="false">2^I19</f>
        <v>2</v>
      </c>
      <c r="J20" s="10" t="n">
        <f aca="false">2^J19</f>
        <v>1</v>
      </c>
    </row>
    <row r="21" customFormat="false" ht="15.75" hidden="false" customHeight="true" outlineLevel="0" collapsed="false">
      <c r="B21" s="7" t="s">
        <v>39</v>
      </c>
      <c r="C21" s="11" t="n">
        <f aca="false">MOD(INT(D7/C20),2)</f>
        <v>1</v>
      </c>
      <c r="D21" s="11" t="n">
        <f aca="false">MOD(INT(D7/D20),2)</f>
        <v>0</v>
      </c>
      <c r="E21" s="11" t="n">
        <f aca="false">MOD(INT(D7/E20),2)</f>
        <v>1</v>
      </c>
      <c r="F21" s="11" t="n">
        <f aca="false">MOD(INT(D7/F20),2)</f>
        <v>0</v>
      </c>
      <c r="G21" s="11" t="n">
        <f aca="false">MOD(INT(D7/G20),2)</f>
        <v>1</v>
      </c>
      <c r="H21" s="11" t="n">
        <f aca="false">MOD(INT(D7/H20),2)</f>
        <v>0</v>
      </c>
      <c r="I21" s="11" t="n">
        <f aca="false">MOD(INT(D7/I20),2)</f>
        <v>0</v>
      </c>
      <c r="J21" s="11" t="n">
        <f aca="false">MOD(INT(D7/J20),2)</f>
        <v>0</v>
      </c>
      <c r="K21" s="15" t="n">
        <f aca="false">SUMPRODUCT(C21:J21,C20:J20)</f>
        <v>168</v>
      </c>
      <c r="L21" s="6" t="s">
        <v>40</v>
      </c>
    </row>
    <row r="22" customFormat="false" ht="15.75" hidden="false" customHeight="true" outlineLevel="0" collapsed="false">
      <c r="B22" s="7" t="s">
        <v>41</v>
      </c>
      <c r="C22" s="11" t="n">
        <f aca="false">MOD(INT(D8/C20),2)</f>
        <v>1</v>
      </c>
      <c r="D22" s="11" t="n">
        <f aca="false">MOD(INT(D8/D20),2)</f>
        <v>1</v>
      </c>
      <c r="E22" s="11" t="n">
        <f aca="false">MOD(INT(D8/E20),2)</f>
        <v>1</v>
      </c>
      <c r="F22" s="11" t="n">
        <f aca="false">MOD(INT(D8/F20),2)</f>
        <v>1</v>
      </c>
      <c r="G22" s="11" t="n">
        <f aca="false">MOD(INT(D8/G20),2)</f>
        <v>1</v>
      </c>
      <c r="H22" s="11" t="n">
        <f aca="false">MOD(INT(D8/H20),2)</f>
        <v>1</v>
      </c>
      <c r="I22" s="11" t="n">
        <f aca="false">MOD(INT(D8/I20),2)</f>
        <v>1</v>
      </c>
      <c r="J22" s="11" t="n">
        <f aca="false">MOD(INT(D8/J20),2)</f>
        <v>1</v>
      </c>
      <c r="K22" s="15" t="n">
        <f aca="false">SUMPRODUCT(C22:J22,C20:J20)</f>
        <v>255</v>
      </c>
    </row>
    <row r="23" customFormat="false" ht="15.75" hidden="false" customHeight="true" outlineLevel="0" collapsed="false">
      <c r="B23" s="7" t="s">
        <v>42</v>
      </c>
      <c r="C23" s="17" t="n">
        <f aca="false">C21*C22</f>
        <v>1</v>
      </c>
      <c r="D23" s="17" t="n">
        <f aca="false">D21*D22</f>
        <v>0</v>
      </c>
      <c r="E23" s="17" t="n">
        <f aca="false">E21*E22</f>
        <v>1</v>
      </c>
      <c r="F23" s="17" t="n">
        <f aca="false">F21*F22</f>
        <v>0</v>
      </c>
      <c r="G23" s="17" t="n">
        <f aca="false">G21*G22</f>
        <v>1</v>
      </c>
      <c r="H23" s="17" t="n">
        <f aca="false">H21*H22</f>
        <v>0</v>
      </c>
      <c r="I23" s="17" t="n">
        <f aca="false">I21*I22</f>
        <v>0</v>
      </c>
      <c r="J23" s="17" t="n">
        <f aca="false">J21*J22</f>
        <v>0</v>
      </c>
      <c r="K23" s="18" t="n">
        <f aca="false">SUMPRODUCT(C23:J23,C20:J20)</f>
        <v>168</v>
      </c>
      <c r="L23" s="6" t="s">
        <v>43</v>
      </c>
    </row>
    <row r="24" customFormat="false" ht="15.75" hidden="false" customHeight="true" outlineLevel="0" collapsed="false">
      <c r="B24" s="7" t="s">
        <v>44</v>
      </c>
      <c r="C24" s="17" t="n">
        <f aca="false">IF(C22=1,C21,1)</f>
        <v>1</v>
      </c>
      <c r="D24" s="17" t="n">
        <f aca="false">IF(D22=1,D21,1)</f>
        <v>0</v>
      </c>
      <c r="E24" s="17" t="n">
        <f aca="false">IF(E22=1,E21,1)</f>
        <v>1</v>
      </c>
      <c r="F24" s="17" t="n">
        <f aca="false">IF(F22=1,F21,1)</f>
        <v>0</v>
      </c>
      <c r="G24" s="17" t="n">
        <f aca="false">IF(G22=1,G21,1)</f>
        <v>1</v>
      </c>
      <c r="H24" s="17" t="n">
        <f aca="false">IF(H22=1,H21,1)</f>
        <v>0</v>
      </c>
      <c r="I24" s="17" t="n">
        <f aca="false">IF(I22=1,I21,1)</f>
        <v>0</v>
      </c>
      <c r="J24" s="17" t="n">
        <f aca="false">IF(J22=1,J21,1)</f>
        <v>0</v>
      </c>
      <c r="K24" s="18" t="n">
        <f aca="false">SUMPRODUCT(C24:J24,C20:J20)</f>
        <v>168</v>
      </c>
      <c r="L24" s="6" t="s">
        <v>45</v>
      </c>
    </row>
    <row r="26" customFormat="false" ht="19.5" hidden="false" customHeight="true" outlineLevel="0" collapsed="false">
      <c r="B26" s="14" t="s">
        <v>47</v>
      </c>
      <c r="C26" s="14"/>
      <c r="D26" s="14"/>
      <c r="E26" s="14"/>
      <c r="F26" s="14"/>
      <c r="G26" s="14"/>
      <c r="H26" s="14"/>
      <c r="I26" s="14"/>
      <c r="J26" s="14"/>
    </row>
    <row r="27" customFormat="false" ht="15.75" hidden="false" customHeight="true" outlineLevel="0" collapsed="false">
      <c r="B27" s="7" t="s">
        <v>25</v>
      </c>
      <c r="C27" s="9" t="n">
        <v>7</v>
      </c>
      <c r="D27" s="9" t="n">
        <v>6</v>
      </c>
      <c r="E27" s="9" t="n">
        <v>5</v>
      </c>
      <c r="F27" s="9" t="n">
        <v>4</v>
      </c>
      <c r="G27" s="9" t="n">
        <v>3</v>
      </c>
      <c r="H27" s="9" t="n">
        <v>2</v>
      </c>
      <c r="I27" s="9" t="n">
        <v>1</v>
      </c>
      <c r="J27" s="9" t="n">
        <v>0</v>
      </c>
    </row>
    <row r="28" customFormat="false" ht="15.75" hidden="false" customHeight="true" outlineLevel="0" collapsed="false">
      <c r="B28" s="7" t="s">
        <v>26</v>
      </c>
      <c r="C28" s="10" t="n">
        <f aca="false">2^C27</f>
        <v>128</v>
      </c>
      <c r="D28" s="10" t="n">
        <f aca="false">2^D27</f>
        <v>64</v>
      </c>
      <c r="E28" s="10" t="n">
        <f aca="false">2^E27</f>
        <v>32</v>
      </c>
      <c r="F28" s="10" t="n">
        <f aca="false">2^F27</f>
        <v>16</v>
      </c>
      <c r="G28" s="10" t="n">
        <f aca="false">2^G27</f>
        <v>8</v>
      </c>
      <c r="H28" s="10" t="n">
        <f aca="false">2^H27</f>
        <v>4</v>
      </c>
      <c r="I28" s="10" t="n">
        <f aca="false">2^I27</f>
        <v>2</v>
      </c>
      <c r="J28" s="10" t="n">
        <f aca="false">2^J27</f>
        <v>1</v>
      </c>
    </row>
    <row r="29" customFormat="false" ht="15.75" hidden="false" customHeight="true" outlineLevel="0" collapsed="false">
      <c r="B29" s="7" t="s">
        <v>39</v>
      </c>
      <c r="C29" s="11" t="n">
        <f aca="false">MOD(INT(E7/C28),2)</f>
        <v>0</v>
      </c>
      <c r="D29" s="11" t="n">
        <f aca="false">MOD(INT(E7/D28),2)</f>
        <v>0</v>
      </c>
      <c r="E29" s="11" t="n">
        <f aca="false">MOD(INT(E7/E28),2)</f>
        <v>0</v>
      </c>
      <c r="F29" s="11" t="n">
        <f aca="false">MOD(INT(E7/F28),2)</f>
        <v>0</v>
      </c>
      <c r="G29" s="11" t="n">
        <f aca="false">MOD(INT(E7/G28),2)</f>
        <v>0</v>
      </c>
      <c r="H29" s="11" t="n">
        <f aca="false">MOD(INT(E7/H28),2)</f>
        <v>0</v>
      </c>
      <c r="I29" s="11" t="n">
        <f aca="false">MOD(INT(E7/I28),2)</f>
        <v>0</v>
      </c>
      <c r="J29" s="11" t="n">
        <f aca="false">MOD(INT(E7/J28),2)</f>
        <v>1</v>
      </c>
      <c r="K29" s="15" t="n">
        <f aca="false">SUMPRODUCT(C29:J29,C28:J28)</f>
        <v>1</v>
      </c>
      <c r="L29" s="6" t="s">
        <v>40</v>
      </c>
    </row>
    <row r="30" customFormat="false" ht="15.75" hidden="false" customHeight="true" outlineLevel="0" collapsed="false">
      <c r="B30" s="7" t="s">
        <v>41</v>
      </c>
      <c r="C30" s="11" t="n">
        <f aca="false">MOD(INT(E8/C28),2)</f>
        <v>1</v>
      </c>
      <c r="D30" s="11" t="n">
        <f aca="false">MOD(INT(E8/D28),2)</f>
        <v>1</v>
      </c>
      <c r="E30" s="11" t="n">
        <f aca="false">MOD(INT(E8/E28),2)</f>
        <v>1</v>
      </c>
      <c r="F30" s="11" t="n">
        <f aca="false">MOD(INT(E8/F28),2)</f>
        <v>1</v>
      </c>
      <c r="G30" s="11" t="n">
        <f aca="false">MOD(INT(E8/G28),2)</f>
        <v>1</v>
      </c>
      <c r="H30" s="11" t="n">
        <f aca="false">MOD(INT(E8/H28),2)</f>
        <v>1</v>
      </c>
      <c r="I30" s="11" t="n">
        <f aca="false">MOD(INT(E8/I28),2)</f>
        <v>1</v>
      </c>
      <c r="J30" s="11" t="n">
        <f aca="false">MOD(INT(E8/J28),2)</f>
        <v>1</v>
      </c>
      <c r="K30" s="15" t="n">
        <f aca="false">SUMPRODUCT(C30:J30,C28:J28)</f>
        <v>255</v>
      </c>
    </row>
    <row r="31" customFormat="false" ht="15.75" hidden="false" customHeight="true" outlineLevel="0" collapsed="false">
      <c r="B31" s="7" t="s">
        <v>42</v>
      </c>
      <c r="C31" s="17" t="n">
        <f aca="false">C29*C30</f>
        <v>0</v>
      </c>
      <c r="D31" s="17" t="n">
        <f aca="false">D29*D30</f>
        <v>0</v>
      </c>
      <c r="E31" s="17" t="n">
        <f aca="false">E29*E30</f>
        <v>0</v>
      </c>
      <c r="F31" s="17" t="n">
        <f aca="false">F29*F30</f>
        <v>0</v>
      </c>
      <c r="G31" s="17" t="n">
        <f aca="false">G29*G30</f>
        <v>0</v>
      </c>
      <c r="H31" s="17" t="n">
        <f aca="false">H29*H30</f>
        <v>0</v>
      </c>
      <c r="I31" s="17" t="n">
        <f aca="false">I29*I30</f>
        <v>0</v>
      </c>
      <c r="J31" s="17" t="n">
        <f aca="false">J29*J30</f>
        <v>1</v>
      </c>
      <c r="K31" s="18" t="n">
        <f aca="false">SUMPRODUCT(C31:J31,C28:J28)</f>
        <v>1</v>
      </c>
      <c r="L31" s="6" t="s">
        <v>43</v>
      </c>
    </row>
    <row r="32" customFormat="false" ht="15.75" hidden="false" customHeight="true" outlineLevel="0" collapsed="false">
      <c r="B32" s="7" t="s">
        <v>44</v>
      </c>
      <c r="C32" s="17" t="n">
        <f aca="false">IF(C30=1,C29,1)</f>
        <v>0</v>
      </c>
      <c r="D32" s="17" t="n">
        <f aca="false">IF(D30=1,D29,1)</f>
        <v>0</v>
      </c>
      <c r="E32" s="17" t="n">
        <f aca="false">IF(E30=1,E29,1)</f>
        <v>0</v>
      </c>
      <c r="F32" s="17" t="n">
        <f aca="false">IF(F30=1,F29,1)</f>
        <v>0</v>
      </c>
      <c r="G32" s="17" t="n">
        <f aca="false">IF(G30=1,G29,1)</f>
        <v>0</v>
      </c>
      <c r="H32" s="17" t="n">
        <f aca="false">IF(H30=1,H29,1)</f>
        <v>0</v>
      </c>
      <c r="I32" s="17" t="n">
        <f aca="false">IF(I30=1,I29,1)</f>
        <v>0</v>
      </c>
      <c r="J32" s="17" t="n">
        <f aca="false">IF(J30=1,J29,1)</f>
        <v>1</v>
      </c>
      <c r="K32" s="18" t="n">
        <f aca="false">SUMPRODUCT(C32:J32,C28:J28)</f>
        <v>1</v>
      </c>
      <c r="L32" s="6" t="s">
        <v>45</v>
      </c>
    </row>
    <row r="34" customFormat="false" ht="19.5" hidden="false" customHeight="true" outlineLevel="0" collapsed="false">
      <c r="B34" s="14" t="s">
        <v>48</v>
      </c>
      <c r="C34" s="14"/>
      <c r="D34" s="14"/>
      <c r="E34" s="14"/>
      <c r="F34" s="14"/>
      <c r="G34" s="14"/>
      <c r="H34" s="14"/>
      <c r="I34" s="14"/>
      <c r="J34" s="14"/>
    </row>
    <row r="35" customFormat="false" ht="15.75" hidden="false" customHeight="true" outlineLevel="0" collapsed="false">
      <c r="B35" s="7" t="s">
        <v>25</v>
      </c>
      <c r="C35" s="9" t="n">
        <v>7</v>
      </c>
      <c r="D35" s="9" t="n">
        <v>6</v>
      </c>
      <c r="E35" s="9" t="n">
        <v>5</v>
      </c>
      <c r="F35" s="9" t="n">
        <v>4</v>
      </c>
      <c r="G35" s="9" t="n">
        <v>3</v>
      </c>
      <c r="H35" s="9" t="n">
        <v>2</v>
      </c>
      <c r="I35" s="9" t="n">
        <v>1</v>
      </c>
      <c r="J35" s="9" t="n">
        <v>0</v>
      </c>
    </row>
    <row r="36" customFormat="false" ht="15.75" hidden="false" customHeight="true" outlineLevel="0" collapsed="false">
      <c r="B36" s="7" t="s">
        <v>26</v>
      </c>
      <c r="C36" s="10" t="n">
        <f aca="false">2^C35</f>
        <v>128</v>
      </c>
      <c r="D36" s="10" t="n">
        <f aca="false">2^D35</f>
        <v>64</v>
      </c>
      <c r="E36" s="10" t="n">
        <f aca="false">2^E35</f>
        <v>32</v>
      </c>
      <c r="F36" s="10" t="n">
        <f aca="false">2^F35</f>
        <v>16</v>
      </c>
      <c r="G36" s="10" t="n">
        <f aca="false">2^G35</f>
        <v>8</v>
      </c>
      <c r="H36" s="10" t="n">
        <f aca="false">2^H35</f>
        <v>4</v>
      </c>
      <c r="I36" s="10" t="n">
        <f aca="false">2^I35</f>
        <v>2</v>
      </c>
      <c r="J36" s="10" t="n">
        <f aca="false">2^J35</f>
        <v>1</v>
      </c>
    </row>
    <row r="37" customFormat="false" ht="15.75" hidden="false" customHeight="true" outlineLevel="0" collapsed="false">
      <c r="B37" s="7" t="s">
        <v>39</v>
      </c>
      <c r="C37" s="11" t="n">
        <f aca="false">MOD(INT(F7/C36),2)</f>
        <v>0</v>
      </c>
      <c r="D37" s="11" t="n">
        <f aca="false">MOD(INT(F7/D36),2)</f>
        <v>0</v>
      </c>
      <c r="E37" s="11" t="n">
        <f aca="false">MOD(INT(F7/E36),2)</f>
        <v>0</v>
      </c>
      <c r="F37" s="11" t="n">
        <f aca="false">MOD(INT(F7/F36),2)</f>
        <v>0</v>
      </c>
      <c r="G37" s="11" t="n">
        <f aca="false">MOD(INT(F7/G36),2)</f>
        <v>1</v>
      </c>
      <c r="H37" s="11" t="n">
        <f aca="false">MOD(INT(F7/H36),2)</f>
        <v>0</v>
      </c>
      <c r="I37" s="11" t="n">
        <f aca="false">MOD(INT(F7/I36),2)</f>
        <v>1</v>
      </c>
      <c r="J37" s="11" t="n">
        <f aca="false">MOD(INT(F7/J36),2)</f>
        <v>0</v>
      </c>
      <c r="K37" s="15" t="n">
        <f aca="false">SUMPRODUCT(C37:J37,C36:J36)</f>
        <v>10</v>
      </c>
      <c r="L37" s="6" t="s">
        <v>40</v>
      </c>
    </row>
    <row r="38" customFormat="false" ht="15.75" hidden="false" customHeight="true" outlineLevel="0" collapsed="false">
      <c r="B38" s="7" t="s">
        <v>41</v>
      </c>
      <c r="C38" s="11" t="n">
        <f aca="false">MOD(INT(F8/C36),2)</f>
        <v>0</v>
      </c>
      <c r="D38" s="11" t="n">
        <f aca="false">MOD(INT(F8/D36),2)</f>
        <v>0</v>
      </c>
      <c r="E38" s="11" t="n">
        <f aca="false">MOD(INT(F8/E36),2)</f>
        <v>0</v>
      </c>
      <c r="F38" s="11" t="n">
        <f aca="false">MOD(INT(F8/F36),2)</f>
        <v>0</v>
      </c>
      <c r="G38" s="11" t="n">
        <f aca="false">MOD(INT(F8/G36),2)</f>
        <v>0</v>
      </c>
      <c r="H38" s="11" t="n">
        <f aca="false">MOD(INT(F8/H36),2)</f>
        <v>0</v>
      </c>
      <c r="I38" s="11" t="n">
        <f aca="false">MOD(INT(F8/I36),2)</f>
        <v>0</v>
      </c>
      <c r="J38" s="11" t="n">
        <f aca="false">MOD(INT(F8/J36),2)</f>
        <v>0</v>
      </c>
      <c r="K38" s="15" t="n">
        <f aca="false">SUMPRODUCT(C38:J38,C36:J36)</f>
        <v>0</v>
      </c>
    </row>
    <row r="39" customFormat="false" ht="15.75" hidden="false" customHeight="true" outlineLevel="0" collapsed="false">
      <c r="B39" s="7" t="s">
        <v>42</v>
      </c>
      <c r="C39" s="17" t="n">
        <f aca="false">C37*C38</f>
        <v>0</v>
      </c>
      <c r="D39" s="17" t="n">
        <f aca="false">D37*D38</f>
        <v>0</v>
      </c>
      <c r="E39" s="17" t="n">
        <f aca="false">E37*E38</f>
        <v>0</v>
      </c>
      <c r="F39" s="17" t="n">
        <f aca="false">F37*F38</f>
        <v>0</v>
      </c>
      <c r="G39" s="17" t="n">
        <f aca="false">G37*G38</f>
        <v>0</v>
      </c>
      <c r="H39" s="17" t="n">
        <f aca="false">H37*H38</f>
        <v>0</v>
      </c>
      <c r="I39" s="17" t="n">
        <f aca="false">I37*I38</f>
        <v>0</v>
      </c>
      <c r="J39" s="17" t="n">
        <f aca="false">J37*J38</f>
        <v>0</v>
      </c>
      <c r="K39" s="18" t="n">
        <f aca="false">SUMPRODUCT(C39:J39,C36:J36)</f>
        <v>0</v>
      </c>
      <c r="L39" s="6" t="s">
        <v>43</v>
      </c>
    </row>
    <row r="40" customFormat="false" ht="15.75" hidden="false" customHeight="true" outlineLevel="0" collapsed="false">
      <c r="B40" s="7" t="s">
        <v>44</v>
      </c>
      <c r="C40" s="17" t="n">
        <f aca="false">IF(C38=1,C37,1)</f>
        <v>1</v>
      </c>
      <c r="D40" s="17" t="n">
        <f aca="false">IF(D38=1,D37,1)</f>
        <v>1</v>
      </c>
      <c r="E40" s="17" t="n">
        <f aca="false">IF(E38=1,E37,1)</f>
        <v>1</v>
      </c>
      <c r="F40" s="17" t="n">
        <f aca="false">IF(F38=1,F37,1)</f>
        <v>1</v>
      </c>
      <c r="G40" s="17" t="n">
        <f aca="false">IF(G38=1,G37,1)</f>
        <v>1</v>
      </c>
      <c r="H40" s="17" t="n">
        <f aca="false">IF(H38=1,H37,1)</f>
        <v>1</v>
      </c>
      <c r="I40" s="17" t="n">
        <f aca="false">IF(I38=1,I37,1)</f>
        <v>1</v>
      </c>
      <c r="J40" s="17" t="n">
        <f aca="false">IF(J38=1,J37,1)</f>
        <v>1</v>
      </c>
      <c r="K40" s="18" t="n">
        <f aca="false">SUMPRODUCT(C40:J40,C36:J36)</f>
        <v>255</v>
      </c>
      <c r="L40" s="6" t="s">
        <v>45</v>
      </c>
    </row>
    <row r="42" customFormat="false" ht="19.5" hidden="false" customHeight="true" outlineLevel="0" collapsed="false">
      <c r="B42" s="14" t="s">
        <v>49</v>
      </c>
      <c r="C42" s="14"/>
      <c r="D42" s="14"/>
      <c r="E42" s="14"/>
      <c r="F42" s="14"/>
      <c r="G42" s="14"/>
      <c r="H42" s="14"/>
      <c r="I42" s="14"/>
      <c r="J42" s="14"/>
    </row>
    <row r="43" customFormat="false" ht="15" hidden="false" customHeight="false" outlineLevel="0" collapsed="false">
      <c r="B43" s="7" t="s">
        <v>50</v>
      </c>
      <c r="C43" s="19" t="str">
        <f aca="false">K13&amp;"."&amp;K21&amp;"."&amp;K29&amp;"."&amp;K37</f>
        <v>192.168.1.10</v>
      </c>
      <c r="D43" s="19"/>
      <c r="E43" s="19"/>
      <c r="F43" s="19"/>
      <c r="G43" s="20" t="s">
        <v>51</v>
      </c>
      <c r="H43" s="20"/>
      <c r="I43" s="20"/>
      <c r="J43" s="20"/>
    </row>
    <row r="44" customFormat="false" ht="15" hidden="false" customHeight="false" outlineLevel="0" collapsed="false">
      <c r="B44" s="7" t="s">
        <v>52</v>
      </c>
      <c r="C44" s="19" t="str">
        <f aca="false">K14&amp;"."&amp;K22&amp;"."&amp;K30&amp;"."&amp;K38</f>
        <v>255.255.255.0</v>
      </c>
      <c r="D44" s="19"/>
      <c r="E44" s="19"/>
      <c r="F44" s="19"/>
      <c r="G44" s="20" t="s">
        <v>51</v>
      </c>
      <c r="H44" s="20"/>
      <c r="I44" s="20"/>
      <c r="J44" s="20"/>
    </row>
    <row r="45" customFormat="false" ht="15" hidden="false" customHeight="false" outlineLevel="0" collapsed="false">
      <c r="B45" s="7" t="s">
        <v>53</v>
      </c>
      <c r="C45" s="19" t="str">
        <f aca="false">"/"&amp;(SUM(C14:J14)+SUM(C22:J22)+SUM(C30:J30)+SUM(C38:J38))</f>
        <v>/24</v>
      </c>
      <c r="D45" s="19"/>
      <c r="E45" s="19"/>
      <c r="F45" s="19"/>
      <c r="G45" s="20" t="s">
        <v>54</v>
      </c>
      <c r="H45" s="20"/>
      <c r="I45" s="20"/>
      <c r="J45" s="20"/>
    </row>
    <row r="46" customFormat="false" ht="15" hidden="false" customHeight="false" outlineLevel="0" collapsed="false">
      <c r="B46" s="7" t="s">
        <v>55</v>
      </c>
      <c r="C46" s="19" t="n">
        <f aca="false">32-(SUM(C14:J14)+SUM(C22:J22)+SUM(C30:J30)+SUM(C38:J38))</f>
        <v>8</v>
      </c>
      <c r="D46" s="19"/>
      <c r="E46" s="19"/>
      <c r="F46" s="19"/>
      <c r="G46" s="20" t="s">
        <v>56</v>
      </c>
      <c r="H46" s="20"/>
      <c r="I46" s="20"/>
      <c r="J46" s="20"/>
    </row>
    <row r="47" customFormat="false" ht="15" hidden="false" customHeight="false" outlineLevel="0" collapsed="false">
      <c r="B47" s="7" t="s">
        <v>57</v>
      </c>
      <c r="C47" s="19" t="n">
        <f aca="false">IF(32-(SUM(C14:J14)+SUM(C22:J22)+SUM(C30:J30)+SUM(C38:J38))&gt;=2,POWER(2,32-(SUM(C14:J14)+SUM(C22:J22)+SUM(C30:J30)+SUM(C38:J38)))-2,0)</f>
        <v>254</v>
      </c>
      <c r="D47" s="19"/>
      <c r="E47" s="19"/>
      <c r="F47" s="19"/>
      <c r="G47" s="20" t="s">
        <v>58</v>
      </c>
      <c r="H47" s="20"/>
      <c r="I47" s="20"/>
      <c r="J47" s="20"/>
    </row>
    <row r="48" customFormat="false" ht="15" hidden="false" customHeight="false" outlineLevel="0" collapsed="false">
      <c r="B48" s="7" t="s">
        <v>59</v>
      </c>
      <c r="C48" s="19" t="str">
        <f aca="false">K15&amp;"."&amp;K23&amp;"."&amp;K31&amp;"."&amp;K39</f>
        <v>192.168.1.0</v>
      </c>
      <c r="D48" s="19"/>
      <c r="E48" s="19"/>
      <c r="F48" s="19"/>
      <c r="G48" s="20" t="s">
        <v>60</v>
      </c>
      <c r="H48" s="20"/>
      <c r="I48" s="20"/>
      <c r="J48" s="20"/>
    </row>
    <row r="49" customFormat="false" ht="15" hidden="false" customHeight="false" outlineLevel="0" collapsed="false">
      <c r="B49" s="7" t="s">
        <v>61</v>
      </c>
      <c r="C49" s="19" t="str">
        <f aca="false">K16&amp;"."&amp;K24&amp;"."&amp;K32&amp;"."&amp;K40</f>
        <v>192.168.1.255</v>
      </c>
      <c r="D49" s="19"/>
      <c r="E49" s="19"/>
      <c r="F49" s="19"/>
      <c r="G49" s="20" t="s">
        <v>62</v>
      </c>
      <c r="H49" s="20"/>
      <c r="I49" s="20"/>
      <c r="J49" s="20"/>
    </row>
    <row r="51" customFormat="false" ht="30" hidden="false" customHeight="true" outlineLevel="0" collapsed="false">
      <c r="B51" s="13" t="s">
        <v>63</v>
      </c>
      <c r="C51" s="13"/>
      <c r="D51" s="13"/>
      <c r="E51" s="13"/>
      <c r="F51" s="13"/>
      <c r="G51" s="13"/>
      <c r="H51" s="13"/>
      <c r="I51" s="13"/>
      <c r="J51" s="13"/>
    </row>
    <row r="52" customFormat="false" ht="15" hidden="false" customHeight="false" outlineLevel="0" collapsed="false">
      <c r="B52" s="13"/>
      <c r="C52" s="13"/>
      <c r="D52" s="13"/>
      <c r="E52" s="13"/>
      <c r="F52" s="13"/>
      <c r="G52" s="13"/>
      <c r="H52" s="13"/>
      <c r="I52" s="13"/>
      <c r="J52" s="13"/>
    </row>
  </sheetData>
  <mergeCells count="23">
    <mergeCell ref="B6:J6"/>
    <mergeCell ref="H7:J7"/>
    <mergeCell ref="H8:J8"/>
    <mergeCell ref="B10:J10"/>
    <mergeCell ref="B18:J18"/>
    <mergeCell ref="B26:J26"/>
    <mergeCell ref="B34:J34"/>
    <mergeCell ref="B42:J42"/>
    <mergeCell ref="C43:F43"/>
    <mergeCell ref="G43:J43"/>
    <mergeCell ref="C44:F44"/>
    <mergeCell ref="G44:J44"/>
    <mergeCell ref="C45:F45"/>
    <mergeCell ref="G45:J45"/>
    <mergeCell ref="C46:F46"/>
    <mergeCell ref="G46:J46"/>
    <mergeCell ref="C47:F47"/>
    <mergeCell ref="G47:J47"/>
    <mergeCell ref="C48:F48"/>
    <mergeCell ref="G48:J48"/>
    <mergeCell ref="C49:F49"/>
    <mergeCell ref="G49:J49"/>
    <mergeCell ref="B51:J52"/>
  </mergeCells>
  <dataValidations count="1">
    <dataValidation allowBlank="false" error="Sisesta täisarv vahemikus 0–255." errorStyle="stop" errorTitle="Vale väärtus" operator="between" showDropDown="false" showErrorMessage="true" showInputMessage="false" sqref="C7:F8" type="whole">
      <formula1>0</formula1>
      <formula2>255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2026-09-21T05:57:46Z</dcterms:created>
  <dc:creator>openpyxl</dc:creator>
  <dc:description/>
  <dc:language>en-US</dc:language>
  <cp:lastModifiedBy/>
  <dcterms:modified xsi:type="dcterms:W3CDTF">2026-09-21T05:57:46Z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